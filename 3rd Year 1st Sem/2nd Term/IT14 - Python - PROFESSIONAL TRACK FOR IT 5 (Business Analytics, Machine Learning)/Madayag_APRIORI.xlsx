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10" yWindow="-110" windowWidth="19420" windowHeight="11020"/>
  </bookViews>
  <sheets>
    <sheet name="Sheet1" sheetId="1" r:id="rId1"/>
  </sheets>
  <definedNames>
    <definedName name="bread">Sheet1!$E:$E</definedName>
    <definedName name="candy">Sheet1!$K:$K</definedName>
    <definedName name="cheese">Sheet1!$F:$F</definedName>
    <definedName name="coffee">Sheet1!$B:$B</definedName>
    <definedName name="cream">Sheet1!$J:$J</definedName>
    <definedName name="donut">Sheet1!$C:$C</definedName>
    <definedName name="fruit">Sheet1!$L:$L</definedName>
    <definedName name="milk">Sheet1!$I:$I</definedName>
    <definedName name="soda">Sheet1!$H:$H</definedName>
    <definedName name="soup">Sheet1!$G:$G</definedName>
    <definedName name="sugar">Sheet1!$D:$D</definedName>
    <definedName name="water">Sheet1!$M:$M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" i="1"/>
  <c r="R30"/>
  <c r="Q9"/>
  <c r="Q10"/>
  <c r="Q25"/>
  <c r="Q12"/>
  <c r="R37"/>
  <c r="Q24"/>
  <c r="R29"/>
  <c r="Q13"/>
  <c r="Q11"/>
  <c r="T52"/>
  <c r="T55"/>
  <c r="R31"/>
  <c r="T53"/>
  <c r="Q8"/>
  <c r="R33"/>
  <c r="Q21"/>
  <c r="S48"/>
  <c r="R35"/>
  <c r="S46"/>
  <c r="S47"/>
  <c r="S45"/>
  <c r="Q17"/>
  <c r="Q14"/>
  <c r="Q16"/>
  <c r="R36"/>
  <c r="T54"/>
  <c r="Q7"/>
  <c r="R38"/>
  <c r="R34"/>
  <c r="R32"/>
  <c r="Q23"/>
  <c r="Q15"/>
  <c r="Q22"/>
  <c r="S44"/>
  <c r="S43"/>
  <c r="S42"/>
  <c r="Q6"/>
  <c r="T56"/>
  <c r="U53" l="1"/>
  <c r="U54"/>
  <c r="V54" s="1"/>
  <c r="W54" s="1"/>
  <c r="R16"/>
  <c r="S16" s="1"/>
  <c r="R17"/>
  <c r="S17" s="1"/>
  <c r="S32"/>
  <c r="U55"/>
  <c r="S30"/>
  <c r="S31"/>
  <c r="R7"/>
  <c r="S7" s="1"/>
  <c r="S33"/>
  <c r="U56"/>
  <c r="U52"/>
  <c r="T43"/>
  <c r="T44"/>
  <c r="T45"/>
  <c r="U45" s="1"/>
  <c r="V45" s="1"/>
  <c r="T46"/>
  <c r="U46" s="1"/>
  <c r="V46" s="1"/>
  <c r="T47"/>
  <c r="T48"/>
  <c r="R8"/>
  <c r="S8" s="1"/>
  <c r="S34"/>
  <c r="R9"/>
  <c r="S9" s="1"/>
  <c r="S35"/>
  <c r="R10"/>
  <c r="S10" s="1"/>
  <c r="S36"/>
  <c r="R11"/>
  <c r="S11" s="1"/>
  <c r="S37"/>
  <c r="R12"/>
  <c r="S12" s="1"/>
  <c r="S38"/>
  <c r="R13"/>
  <c r="S13" s="1"/>
  <c r="S29"/>
  <c r="R14"/>
  <c r="S14" s="1"/>
  <c r="R15"/>
  <c r="S15" s="1"/>
  <c r="T42"/>
  <c r="R6"/>
  <c r="S6" s="1"/>
  <c r="T30" l="1"/>
  <c r="U48"/>
  <c r="V48" s="1"/>
  <c r="V56"/>
  <c r="W56" s="1"/>
  <c r="T35"/>
  <c r="T33"/>
  <c r="U33" s="1"/>
  <c r="T36"/>
  <c r="U47"/>
  <c r="V47" s="1"/>
  <c r="T37"/>
  <c r="T38"/>
  <c r="V55"/>
  <c r="W55" s="1"/>
  <c r="T34"/>
  <c r="V53"/>
  <c r="W53" s="1"/>
  <c r="V52"/>
  <c r="W52" s="1"/>
  <c r="U44"/>
  <c r="V44" s="1"/>
  <c r="U43"/>
  <c r="V43" s="1"/>
  <c r="U42"/>
  <c r="V42" s="1"/>
  <c r="T32"/>
  <c r="T31"/>
  <c r="U31" s="1"/>
  <c r="T29"/>
  <c r="U38" l="1"/>
  <c r="V38"/>
  <c r="U37"/>
  <c r="V37"/>
  <c r="U36"/>
  <c r="V36"/>
  <c r="U35"/>
  <c r="V35"/>
  <c r="U34"/>
  <c r="V34"/>
  <c r="U32"/>
  <c r="V32"/>
  <c r="U30"/>
  <c r="V30"/>
  <c r="U29"/>
  <c r="V29"/>
</calcChain>
</file>

<file path=xl/sharedStrings.xml><?xml version="1.0" encoding="utf-8"?>
<sst xmlns="http://schemas.openxmlformats.org/spreadsheetml/2006/main" count="131" uniqueCount="32">
  <si>
    <t>coffee</t>
  </si>
  <si>
    <t>donut</t>
  </si>
  <si>
    <t>sugar</t>
  </si>
  <si>
    <t>bread</t>
  </si>
  <si>
    <t>cheese</t>
  </si>
  <si>
    <t xml:space="preserve">soup </t>
  </si>
  <si>
    <t>soda</t>
  </si>
  <si>
    <t>milk</t>
  </si>
  <si>
    <t>cream</t>
  </si>
  <si>
    <t>candy</t>
  </si>
  <si>
    <t>fruit</t>
  </si>
  <si>
    <t>water</t>
  </si>
  <si>
    <t>Threshold:</t>
  </si>
  <si>
    <t>Total Transactions:</t>
  </si>
  <si>
    <t>Min. Support</t>
  </si>
  <si>
    <t>Support</t>
  </si>
  <si>
    <t>Frequency</t>
  </si>
  <si>
    <t>Item No.</t>
  </si>
  <si>
    <t>Items</t>
  </si>
  <si>
    <t>Threshold</t>
  </si>
  <si>
    <t>ITEMSET 1</t>
  </si>
  <si>
    <t>ITEMSET 2</t>
  </si>
  <si>
    <t>Item1</t>
  </si>
  <si>
    <t>Item2</t>
  </si>
  <si>
    <t>Confidence</t>
  </si>
  <si>
    <t>Treshold</t>
  </si>
  <si>
    <t>ITEMSET 3</t>
  </si>
  <si>
    <t>Item3</t>
  </si>
  <si>
    <t>ITEMSET 4</t>
  </si>
  <si>
    <t>Item4</t>
  </si>
  <si>
    <t>ID</t>
  </si>
  <si>
    <t>Lift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</si>
</sst>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</cellStyleXfs>
  <cellXfs count="14">
    <xf numFmtId="0" fontId="0" fillId="0" borderId="0" xfId="0"/>
    <xf numFmtId="9" fontId="0" fillId="0" borderId="0" xfId="0" applyNumberFormat="1"/>
    <xf numFmtId="0" fontId="4" fillId="4" borderId="1" xfId="3" applyBorder="1"/>
    <xf numFmtId="0" fontId="2" fillId="2" borderId="1" xfId="1" applyBorder="1" applyAlignment="1">
      <alignment horizontal="left"/>
    </xf>
    <xf numFmtId="0" fontId="2" fillId="2" borderId="1" xfId="1" applyBorder="1"/>
    <xf numFmtId="0" fontId="3" fillId="3" borderId="1" xfId="2" applyBorder="1" applyAlignment="1">
      <alignment horizontal="left"/>
    </xf>
    <xf numFmtId="0" fontId="3" fillId="3" borderId="1" xfId="2" applyBorder="1"/>
    <xf numFmtId="0" fontId="0" fillId="0" borderId="1" xfId="0" applyBorder="1"/>
    <xf numFmtId="9" fontId="0" fillId="0" borderId="1" xfId="0" applyNumberFormat="1" applyBorder="1"/>
    <xf numFmtId="0" fontId="4" fillId="5" borderId="1" xfId="4" applyBorder="1"/>
    <xf numFmtId="0" fontId="1" fillId="5" borderId="1" xfId="4" applyFont="1" applyBorder="1"/>
    <xf numFmtId="0" fontId="0" fillId="0" borderId="0" xfId="0" applyBorder="1"/>
    <xf numFmtId="0" fontId="4" fillId="4" borderId="1" xfId="3" applyBorder="1" applyAlignment="1">
      <alignment horizontal="center"/>
    </xf>
    <xf numFmtId="0" fontId="4" fillId="4" borderId="1" xfId="3" applyBorder="1" applyAlignment="1">
      <alignment horizontal="center"/>
    </xf>
  </cellXfs>
  <cellStyles count="5">
    <cellStyle name="60% - Accent2" xfId="4" builtinId="36"/>
    <cellStyle name="Accent2" xfId="3" builtinId="33"/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6"/>
  <sheetViews>
    <sheetView tabSelected="1" topLeftCell="J13" workbookViewId="0">
      <selection activeCell="R8" sqref="R8"/>
    </sheetView>
  </sheetViews>
  <sheetFormatPr defaultRowHeight="14.5"/>
  <cols>
    <col min="1" max="1" width="5.90625" customWidth="1"/>
    <col min="15" max="15" width="17.7265625" customWidth="1"/>
    <col min="16" max="16" width="10.36328125" customWidth="1"/>
    <col min="17" max="17" width="12.54296875" customWidth="1"/>
    <col min="18" max="18" width="14.7265625" customWidth="1"/>
    <col min="19" max="19" width="15.54296875" customWidth="1"/>
    <col min="20" max="20" width="13.1796875" customWidth="1"/>
    <col min="21" max="21" width="12.1796875" customWidth="1"/>
    <col min="22" max="22" width="15.81640625" customWidth="1"/>
    <col min="23" max="23" width="12.90625" customWidth="1"/>
  </cols>
  <sheetData>
    <row r="1" spans="1:19">
      <c r="A1" s="12" t="s">
        <v>30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2" t="s">
        <v>9</v>
      </c>
      <c r="L1" s="12" t="s">
        <v>10</v>
      </c>
      <c r="M1" s="12" t="s">
        <v>11</v>
      </c>
      <c r="O1" s="2" t="s">
        <v>13</v>
      </c>
      <c r="P1" s="7">
        <f>COUNT(A2:A36)</f>
        <v>35</v>
      </c>
      <c r="R1" s="2" t="s">
        <v>12</v>
      </c>
      <c r="S1" s="8">
        <v>0.33</v>
      </c>
    </row>
    <row r="2" spans="1:19">
      <c r="A2" s="7">
        <v>1</v>
      </c>
      <c r="B2" s="7">
        <v>1</v>
      </c>
      <c r="C2" s="7">
        <v>1</v>
      </c>
      <c r="D2" s="7">
        <v>1</v>
      </c>
      <c r="E2" s="7">
        <v>1</v>
      </c>
      <c r="F2" s="7">
        <v>0</v>
      </c>
      <c r="G2" s="7">
        <v>1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R2" s="9" t="s">
        <v>14</v>
      </c>
      <c r="S2" s="7">
        <v>0.33</v>
      </c>
    </row>
    <row r="3" spans="1:19">
      <c r="A3" s="7">
        <v>2</v>
      </c>
      <c r="B3" s="7">
        <v>0</v>
      </c>
      <c r="C3" s="7">
        <v>0</v>
      </c>
      <c r="D3" s="7">
        <v>0</v>
      </c>
      <c r="E3" s="7">
        <v>0</v>
      </c>
      <c r="F3" s="7">
        <v>1</v>
      </c>
      <c r="G3" s="7">
        <v>0</v>
      </c>
      <c r="H3" s="7">
        <v>1</v>
      </c>
      <c r="I3" s="7">
        <v>1</v>
      </c>
      <c r="J3" s="7">
        <v>0</v>
      </c>
      <c r="K3" s="7">
        <v>1</v>
      </c>
      <c r="L3" s="7">
        <v>0</v>
      </c>
      <c r="M3" s="7">
        <v>0</v>
      </c>
    </row>
    <row r="4" spans="1:19">
      <c r="A4" s="7">
        <v>3</v>
      </c>
      <c r="B4" s="7">
        <v>1</v>
      </c>
      <c r="C4" s="7">
        <v>0</v>
      </c>
      <c r="D4" s="7">
        <v>0</v>
      </c>
      <c r="E4" s="7">
        <v>1</v>
      </c>
      <c r="F4" s="7">
        <v>0</v>
      </c>
      <c r="G4" s="7">
        <v>0</v>
      </c>
      <c r="H4" s="7">
        <v>0</v>
      </c>
      <c r="I4" s="7">
        <v>0</v>
      </c>
      <c r="J4" s="7">
        <v>1</v>
      </c>
      <c r="K4" s="7">
        <v>0</v>
      </c>
      <c r="L4" s="7">
        <v>1</v>
      </c>
      <c r="M4" s="7">
        <v>0</v>
      </c>
      <c r="R4" s="1"/>
    </row>
    <row r="5" spans="1:19">
      <c r="A5" s="7">
        <v>4</v>
      </c>
      <c r="B5" s="7">
        <v>1</v>
      </c>
      <c r="C5" s="7">
        <v>1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O5" s="2" t="s">
        <v>17</v>
      </c>
      <c r="P5" s="2" t="s">
        <v>18</v>
      </c>
      <c r="Q5" s="2" t="s">
        <v>16</v>
      </c>
      <c r="R5" s="2" t="s">
        <v>15</v>
      </c>
      <c r="S5" s="2" t="s">
        <v>19</v>
      </c>
    </row>
    <row r="6" spans="1:19">
      <c r="A6" s="7">
        <v>5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1</v>
      </c>
      <c r="H6" s="7">
        <v>0</v>
      </c>
      <c r="I6" s="7">
        <v>1</v>
      </c>
      <c r="J6" s="7">
        <v>0</v>
      </c>
      <c r="K6" s="7">
        <v>0</v>
      </c>
      <c r="L6" s="7">
        <v>0</v>
      </c>
      <c r="M6" s="7">
        <v>1</v>
      </c>
      <c r="O6" s="3">
        <v>1</v>
      </c>
      <c r="P6" s="4" t="s">
        <v>0</v>
      </c>
      <c r="Q6" s="4">
        <f ca="1">COUNTIFS(INDIRECT(P6),1)</f>
        <v>15</v>
      </c>
      <c r="R6" s="4">
        <f ca="1">Q6/$P$1</f>
        <v>0.42857142857142855</v>
      </c>
      <c r="S6" s="4">
        <f ca="1">R6*100</f>
        <v>42.857142857142854</v>
      </c>
    </row>
    <row r="7" spans="1:19">
      <c r="A7" s="7">
        <v>6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1</v>
      </c>
      <c r="I7" s="7">
        <v>0</v>
      </c>
      <c r="J7" s="7">
        <v>0</v>
      </c>
      <c r="K7" s="7">
        <v>1</v>
      </c>
      <c r="L7" s="7">
        <v>0</v>
      </c>
      <c r="M7" s="7">
        <v>0</v>
      </c>
      <c r="O7" s="5">
        <v>2</v>
      </c>
      <c r="P7" s="6" t="s">
        <v>1</v>
      </c>
      <c r="Q7" s="6">
        <f t="shared" ref="Q7:Q17" ca="1" si="0">COUNTIFS(INDIRECT(P7),1)</f>
        <v>11</v>
      </c>
      <c r="R7" s="6">
        <f t="shared" ref="R7:R17" ca="1" si="1">Q7/$P$1</f>
        <v>0.31428571428571428</v>
      </c>
      <c r="S7" s="6">
        <f ca="1">R7*100</f>
        <v>31.428571428571427</v>
      </c>
    </row>
    <row r="8" spans="1:19">
      <c r="A8" s="7">
        <v>7</v>
      </c>
      <c r="B8" s="7">
        <v>1</v>
      </c>
      <c r="C8" s="7">
        <v>1</v>
      </c>
      <c r="D8" s="7">
        <v>1</v>
      </c>
      <c r="E8" s="7">
        <v>0</v>
      </c>
      <c r="F8" s="7">
        <v>1</v>
      </c>
      <c r="G8" s="7">
        <v>0</v>
      </c>
      <c r="H8" s="7">
        <v>1</v>
      </c>
      <c r="I8" s="7">
        <v>0</v>
      </c>
      <c r="J8" s="7">
        <v>0</v>
      </c>
      <c r="K8" s="7">
        <v>0</v>
      </c>
      <c r="L8" s="7">
        <v>0</v>
      </c>
      <c r="M8" s="7">
        <v>1</v>
      </c>
      <c r="O8" s="3">
        <v>3</v>
      </c>
      <c r="P8" s="4" t="s">
        <v>2</v>
      </c>
      <c r="Q8" s="4">
        <f t="shared" ca="1" si="0"/>
        <v>12</v>
      </c>
      <c r="R8" s="4">
        <f t="shared" ca="1" si="1"/>
        <v>0.34285714285714286</v>
      </c>
      <c r="S8" s="4">
        <f t="shared" ref="S8:S17" ca="1" si="2">R8*100</f>
        <v>34.285714285714285</v>
      </c>
    </row>
    <row r="9" spans="1:19">
      <c r="A9" s="7">
        <v>8</v>
      </c>
      <c r="B9" s="7">
        <v>1</v>
      </c>
      <c r="C9" s="7">
        <v>0</v>
      </c>
      <c r="D9" s="7">
        <v>0</v>
      </c>
      <c r="E9" s="7">
        <v>0</v>
      </c>
      <c r="F9" s="7">
        <v>1</v>
      </c>
      <c r="G9" s="7">
        <v>1</v>
      </c>
      <c r="H9" s="7">
        <v>1</v>
      </c>
      <c r="I9" s="7">
        <v>1</v>
      </c>
      <c r="J9" s="7">
        <v>1</v>
      </c>
      <c r="K9" s="7">
        <v>0</v>
      </c>
      <c r="L9" s="7">
        <v>0</v>
      </c>
      <c r="M9" s="7">
        <v>1</v>
      </c>
      <c r="O9" s="5">
        <v>4</v>
      </c>
      <c r="P9" s="6" t="s">
        <v>3</v>
      </c>
      <c r="Q9" s="6">
        <f t="shared" ca="1" si="0"/>
        <v>11</v>
      </c>
      <c r="R9" s="6">
        <f t="shared" ca="1" si="1"/>
        <v>0.31428571428571428</v>
      </c>
      <c r="S9" s="6">
        <f t="shared" ca="1" si="2"/>
        <v>31.428571428571427</v>
      </c>
    </row>
    <row r="10" spans="1:19">
      <c r="A10" s="7">
        <v>9</v>
      </c>
      <c r="B10" s="7">
        <v>1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1</v>
      </c>
      <c r="O10" s="3">
        <v>5</v>
      </c>
      <c r="P10" s="4" t="s">
        <v>4</v>
      </c>
      <c r="Q10" s="4">
        <f t="shared" ca="1" si="0"/>
        <v>14</v>
      </c>
      <c r="R10" s="4">
        <f t="shared" ca="1" si="1"/>
        <v>0.4</v>
      </c>
      <c r="S10" s="4">
        <f t="shared" ca="1" si="2"/>
        <v>40</v>
      </c>
    </row>
    <row r="11" spans="1:19">
      <c r="A11" s="7">
        <v>10</v>
      </c>
      <c r="B11" s="7">
        <v>1</v>
      </c>
      <c r="C11" s="7">
        <v>0</v>
      </c>
      <c r="D11" s="7">
        <v>1</v>
      </c>
      <c r="E11" s="7">
        <v>0</v>
      </c>
      <c r="F11" s="7">
        <v>0</v>
      </c>
      <c r="G11" s="7">
        <v>0</v>
      </c>
      <c r="H11" s="7">
        <v>1</v>
      </c>
      <c r="I11" s="7">
        <v>1</v>
      </c>
      <c r="J11" s="7">
        <v>1</v>
      </c>
      <c r="K11" s="7">
        <v>0</v>
      </c>
      <c r="L11" s="7">
        <v>0</v>
      </c>
      <c r="M11" s="7">
        <v>1</v>
      </c>
      <c r="O11" s="5">
        <v>6</v>
      </c>
      <c r="P11" s="6" t="s">
        <v>5</v>
      </c>
      <c r="Q11" s="6">
        <f t="shared" ca="1" si="0"/>
        <v>7</v>
      </c>
      <c r="R11" s="6">
        <f t="shared" ca="1" si="1"/>
        <v>0.2</v>
      </c>
      <c r="S11" s="6">
        <f t="shared" ca="1" si="2"/>
        <v>20</v>
      </c>
    </row>
    <row r="12" spans="1:19">
      <c r="A12" s="7">
        <v>11</v>
      </c>
      <c r="B12" s="7">
        <v>0</v>
      </c>
      <c r="C12" s="7">
        <v>0</v>
      </c>
      <c r="D12" s="7">
        <v>0</v>
      </c>
      <c r="E12" s="7">
        <v>0</v>
      </c>
      <c r="F12" s="7">
        <v>1</v>
      </c>
      <c r="G12" s="7">
        <v>0</v>
      </c>
      <c r="H12" s="7">
        <v>1</v>
      </c>
      <c r="I12" s="7">
        <v>0</v>
      </c>
      <c r="J12" s="7">
        <v>0</v>
      </c>
      <c r="K12" s="7">
        <v>1</v>
      </c>
      <c r="L12" s="7">
        <v>0</v>
      </c>
      <c r="M12" s="7">
        <v>1</v>
      </c>
      <c r="O12" s="3">
        <v>7</v>
      </c>
      <c r="P12" s="4" t="s">
        <v>6</v>
      </c>
      <c r="Q12" s="4">
        <f t="shared" ca="1" si="0"/>
        <v>16</v>
      </c>
      <c r="R12" s="4">
        <f t="shared" ca="1" si="1"/>
        <v>0.45714285714285713</v>
      </c>
      <c r="S12" s="4">
        <f t="shared" ca="1" si="2"/>
        <v>45.714285714285715</v>
      </c>
    </row>
    <row r="13" spans="1:19">
      <c r="A13" s="7">
        <v>12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1</v>
      </c>
      <c r="I13" s="7">
        <v>0</v>
      </c>
      <c r="J13" s="7">
        <v>0</v>
      </c>
      <c r="K13" s="7">
        <v>1</v>
      </c>
      <c r="L13" s="7">
        <v>0</v>
      </c>
      <c r="M13" s="7">
        <v>0</v>
      </c>
      <c r="O13" s="5">
        <v>8</v>
      </c>
      <c r="P13" s="6" t="s">
        <v>7</v>
      </c>
      <c r="Q13" s="6">
        <f t="shared" ca="1" si="0"/>
        <v>11</v>
      </c>
      <c r="R13" s="6">
        <f t="shared" ca="1" si="1"/>
        <v>0.31428571428571428</v>
      </c>
      <c r="S13" s="6">
        <f t="shared" ca="1" si="2"/>
        <v>31.428571428571427</v>
      </c>
    </row>
    <row r="14" spans="1:19">
      <c r="A14" s="7">
        <v>13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1</v>
      </c>
      <c r="I14" s="7">
        <v>0</v>
      </c>
      <c r="J14" s="7">
        <v>0</v>
      </c>
      <c r="K14" s="7">
        <v>1</v>
      </c>
      <c r="L14" s="7">
        <v>0</v>
      </c>
      <c r="M14" s="7">
        <v>0</v>
      </c>
      <c r="O14" s="5">
        <v>9</v>
      </c>
      <c r="P14" s="6" t="s">
        <v>8</v>
      </c>
      <c r="Q14" s="6">
        <f t="shared" ca="1" si="0"/>
        <v>7</v>
      </c>
      <c r="R14" s="6">
        <f t="shared" ca="1" si="1"/>
        <v>0.2</v>
      </c>
      <c r="S14" s="6">
        <f t="shared" ca="1" si="2"/>
        <v>20</v>
      </c>
    </row>
    <row r="15" spans="1:19">
      <c r="A15" s="7">
        <v>14</v>
      </c>
      <c r="B15" s="7">
        <v>1</v>
      </c>
      <c r="C15" s="7">
        <v>1</v>
      </c>
      <c r="D15" s="7">
        <v>1</v>
      </c>
      <c r="E15" s="7">
        <v>1</v>
      </c>
      <c r="F15" s="7">
        <v>1</v>
      </c>
      <c r="G15" s="7">
        <v>0</v>
      </c>
      <c r="H15" s="7">
        <v>1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O15" s="5">
        <v>10</v>
      </c>
      <c r="P15" s="6" t="s">
        <v>9</v>
      </c>
      <c r="Q15" s="6">
        <f t="shared" ca="1" si="0"/>
        <v>10</v>
      </c>
      <c r="R15" s="6">
        <f t="shared" ca="1" si="1"/>
        <v>0.2857142857142857</v>
      </c>
      <c r="S15" s="6">
        <f t="shared" ca="1" si="2"/>
        <v>28.571428571428569</v>
      </c>
    </row>
    <row r="16" spans="1:19">
      <c r="A16" s="7">
        <v>15</v>
      </c>
      <c r="B16" s="7">
        <v>0</v>
      </c>
      <c r="C16" s="7">
        <v>0</v>
      </c>
      <c r="D16" s="7">
        <v>1</v>
      </c>
      <c r="E16" s="7">
        <v>0</v>
      </c>
      <c r="F16" s="7">
        <v>1</v>
      </c>
      <c r="G16" s="7">
        <v>0</v>
      </c>
      <c r="H16" s="7">
        <v>0</v>
      </c>
      <c r="I16" s="7">
        <v>1</v>
      </c>
      <c r="J16" s="7">
        <v>1</v>
      </c>
      <c r="K16" s="7">
        <v>0</v>
      </c>
      <c r="L16" s="7">
        <v>0</v>
      </c>
      <c r="M16" s="7">
        <v>0</v>
      </c>
      <c r="O16" s="5">
        <v>11</v>
      </c>
      <c r="P16" s="6" t="s">
        <v>10</v>
      </c>
      <c r="Q16" s="6">
        <f t="shared" ca="1" si="0"/>
        <v>9</v>
      </c>
      <c r="R16" s="6">
        <f t="shared" ca="1" si="1"/>
        <v>0.25714285714285712</v>
      </c>
      <c r="S16" s="6">
        <f t="shared" ca="1" si="2"/>
        <v>25.714285714285712</v>
      </c>
    </row>
    <row r="17" spans="1:22">
      <c r="A17" s="7">
        <v>16</v>
      </c>
      <c r="B17" s="7">
        <v>0</v>
      </c>
      <c r="C17" s="7">
        <v>0</v>
      </c>
      <c r="D17" s="7">
        <v>1</v>
      </c>
      <c r="E17" s="7">
        <v>0</v>
      </c>
      <c r="F17" s="7">
        <v>1</v>
      </c>
      <c r="G17" s="7">
        <v>0</v>
      </c>
      <c r="H17" s="7">
        <v>1</v>
      </c>
      <c r="I17" s="7">
        <v>1</v>
      </c>
      <c r="J17" s="7">
        <v>0</v>
      </c>
      <c r="K17" s="7">
        <v>1</v>
      </c>
      <c r="L17" s="7">
        <v>0</v>
      </c>
      <c r="M17" s="7">
        <v>0</v>
      </c>
      <c r="O17" s="3">
        <v>12</v>
      </c>
      <c r="P17" s="4" t="s">
        <v>11</v>
      </c>
      <c r="Q17" s="4">
        <f t="shared" ca="1" si="0"/>
        <v>13</v>
      </c>
      <c r="R17" s="4">
        <f t="shared" ca="1" si="1"/>
        <v>0.37142857142857144</v>
      </c>
      <c r="S17" s="4">
        <f t="shared" ca="1" si="2"/>
        <v>37.142857142857146</v>
      </c>
    </row>
    <row r="18" spans="1:22">
      <c r="A18" s="7">
        <v>17</v>
      </c>
      <c r="B18" s="7">
        <v>0</v>
      </c>
      <c r="C18" s="7">
        <v>0</v>
      </c>
      <c r="D18" s="7">
        <v>1</v>
      </c>
      <c r="E18" s="7">
        <v>1</v>
      </c>
      <c r="F18" s="7">
        <v>1</v>
      </c>
      <c r="G18" s="7">
        <v>0</v>
      </c>
      <c r="H18" s="7">
        <v>1</v>
      </c>
      <c r="I18" s="7">
        <v>0</v>
      </c>
      <c r="J18" s="7">
        <v>0</v>
      </c>
      <c r="K18" s="7">
        <v>0</v>
      </c>
      <c r="L18" s="7">
        <v>0</v>
      </c>
      <c r="M18" s="7">
        <v>1</v>
      </c>
    </row>
    <row r="19" spans="1:22">
      <c r="A19" s="7">
        <v>18</v>
      </c>
      <c r="B19" s="7">
        <v>1</v>
      </c>
      <c r="C19" s="7">
        <v>1</v>
      </c>
      <c r="D19" s="7">
        <v>1</v>
      </c>
      <c r="E19" s="7">
        <v>0</v>
      </c>
      <c r="F19" s="7">
        <v>0</v>
      </c>
      <c r="G19" s="7">
        <v>1</v>
      </c>
      <c r="H19" s="7"/>
      <c r="I19" s="7">
        <v>0</v>
      </c>
      <c r="J19" s="7">
        <v>0</v>
      </c>
      <c r="K19" s="7">
        <v>0</v>
      </c>
      <c r="L19" s="7">
        <v>1</v>
      </c>
      <c r="M19" s="7">
        <v>0</v>
      </c>
      <c r="O19" s="13" t="s">
        <v>20</v>
      </c>
      <c r="P19" s="13"/>
      <c r="Q19" s="13"/>
    </row>
    <row r="20" spans="1:22">
      <c r="A20" s="7">
        <v>19</v>
      </c>
      <c r="B20" s="7">
        <v>0</v>
      </c>
      <c r="C20" s="7">
        <v>0</v>
      </c>
      <c r="D20" s="7">
        <v>1</v>
      </c>
      <c r="E20" s="7">
        <v>1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1</v>
      </c>
      <c r="M20" s="7">
        <v>1</v>
      </c>
      <c r="O20" s="10" t="s">
        <v>17</v>
      </c>
      <c r="P20" s="10" t="s">
        <v>18</v>
      </c>
      <c r="Q20" s="10" t="s">
        <v>16</v>
      </c>
    </row>
    <row r="21" spans="1:22">
      <c r="A21" s="7">
        <v>20</v>
      </c>
      <c r="B21" s="7">
        <v>1</v>
      </c>
      <c r="C21" s="7">
        <v>1</v>
      </c>
      <c r="D21" s="7">
        <v>0</v>
      </c>
      <c r="E21" s="7">
        <v>1</v>
      </c>
      <c r="F21" s="7">
        <v>0</v>
      </c>
      <c r="G21" s="7">
        <v>0</v>
      </c>
      <c r="H21" s="7">
        <v>0</v>
      </c>
      <c r="I21" s="7">
        <v>1</v>
      </c>
      <c r="J21" s="7">
        <v>0</v>
      </c>
      <c r="K21" s="7">
        <v>0</v>
      </c>
      <c r="L21" s="7">
        <v>1</v>
      </c>
      <c r="M21" s="7">
        <v>0</v>
      </c>
      <c r="O21" s="7">
        <v>1</v>
      </c>
      <c r="P21" s="7" t="s">
        <v>0</v>
      </c>
      <c r="Q21" s="7">
        <f ca="1">COUNTIFS(INDIRECT(P21),1)</f>
        <v>15</v>
      </c>
    </row>
    <row r="22" spans="1:22">
      <c r="A22" s="7">
        <v>21</v>
      </c>
      <c r="B22" s="7">
        <v>0</v>
      </c>
      <c r="C22" s="7">
        <v>0</v>
      </c>
      <c r="D22" s="7">
        <v>0</v>
      </c>
      <c r="E22" s="7">
        <v>0</v>
      </c>
      <c r="F22" s="7">
        <v>1</v>
      </c>
      <c r="G22" s="7">
        <v>0</v>
      </c>
      <c r="H22" s="7">
        <v>1</v>
      </c>
      <c r="I22" s="7">
        <v>0</v>
      </c>
      <c r="J22" s="7">
        <v>0</v>
      </c>
      <c r="K22" s="7">
        <v>1</v>
      </c>
      <c r="L22" s="7">
        <v>1</v>
      </c>
      <c r="M22" s="7">
        <v>0</v>
      </c>
      <c r="O22" s="7">
        <v>2</v>
      </c>
      <c r="P22" s="7" t="s">
        <v>2</v>
      </c>
      <c r="Q22" s="7">
        <f t="shared" ref="Q22:Q25" ca="1" si="3">COUNTIFS(INDIRECT(P22),1)</f>
        <v>12</v>
      </c>
    </row>
    <row r="23" spans="1:22">
      <c r="A23" s="7">
        <v>22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1</v>
      </c>
      <c r="H23" s="7">
        <v>1</v>
      </c>
      <c r="I23" s="7">
        <v>0</v>
      </c>
      <c r="J23" s="7">
        <v>0</v>
      </c>
      <c r="K23" s="7">
        <v>1</v>
      </c>
      <c r="L23" s="7">
        <v>0</v>
      </c>
      <c r="M23" s="7">
        <v>0</v>
      </c>
      <c r="O23" s="7">
        <v>3</v>
      </c>
      <c r="P23" s="7" t="s">
        <v>4</v>
      </c>
      <c r="Q23" s="7">
        <f t="shared" ca="1" si="3"/>
        <v>14</v>
      </c>
    </row>
    <row r="24" spans="1:22">
      <c r="A24" s="7">
        <v>23</v>
      </c>
      <c r="B24" s="7">
        <v>0</v>
      </c>
      <c r="C24" s="7">
        <v>0</v>
      </c>
      <c r="D24" s="7">
        <v>0</v>
      </c>
      <c r="E24" s="7">
        <v>1</v>
      </c>
      <c r="F24" s="7">
        <v>0</v>
      </c>
      <c r="G24" s="7">
        <v>0</v>
      </c>
      <c r="H24" s="7">
        <v>0</v>
      </c>
      <c r="I24" s="7">
        <v>1</v>
      </c>
      <c r="J24" s="7">
        <v>0</v>
      </c>
      <c r="K24" s="7">
        <v>0</v>
      </c>
      <c r="L24" s="7">
        <v>0</v>
      </c>
      <c r="M24" s="7">
        <v>1</v>
      </c>
      <c r="O24" s="7">
        <v>4</v>
      </c>
      <c r="P24" s="7" t="s">
        <v>6</v>
      </c>
      <c r="Q24" s="7">
        <f t="shared" ca="1" si="3"/>
        <v>16</v>
      </c>
    </row>
    <row r="25" spans="1:22">
      <c r="A25" s="7">
        <v>24</v>
      </c>
      <c r="B25" s="7">
        <v>0</v>
      </c>
      <c r="C25" s="7">
        <v>0</v>
      </c>
      <c r="D25" s="7">
        <v>0</v>
      </c>
      <c r="E25" s="7">
        <v>1</v>
      </c>
      <c r="F25" s="7">
        <v>0</v>
      </c>
      <c r="G25" s="7">
        <v>1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1</v>
      </c>
      <c r="O25" s="7">
        <v>5</v>
      </c>
      <c r="P25" s="7" t="s">
        <v>11</v>
      </c>
      <c r="Q25" s="7">
        <f t="shared" ca="1" si="3"/>
        <v>13</v>
      </c>
    </row>
    <row r="26" spans="1:22">
      <c r="A26" s="7">
        <v>25</v>
      </c>
      <c r="B26" s="7">
        <v>1</v>
      </c>
      <c r="C26" s="7">
        <v>1</v>
      </c>
      <c r="D26" s="7">
        <v>1</v>
      </c>
      <c r="E26" s="7">
        <v>1</v>
      </c>
      <c r="F26" s="7">
        <v>1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</row>
    <row r="27" spans="1:22">
      <c r="A27" s="7">
        <v>26</v>
      </c>
      <c r="B27" s="7">
        <v>0</v>
      </c>
      <c r="C27" s="7">
        <v>0</v>
      </c>
      <c r="D27" s="7">
        <v>0</v>
      </c>
      <c r="E27" s="7">
        <v>1</v>
      </c>
      <c r="F27" s="7">
        <v>1</v>
      </c>
      <c r="G27" s="7">
        <v>0</v>
      </c>
      <c r="H27" s="7">
        <v>1</v>
      </c>
      <c r="I27" s="7">
        <v>1</v>
      </c>
      <c r="J27" s="7">
        <v>0</v>
      </c>
      <c r="K27" s="7">
        <v>1</v>
      </c>
      <c r="L27" s="7">
        <v>0</v>
      </c>
      <c r="M27" s="7">
        <v>0</v>
      </c>
      <c r="O27" s="13" t="s">
        <v>21</v>
      </c>
      <c r="P27" s="13"/>
      <c r="Q27" s="13"/>
      <c r="R27" s="13"/>
      <c r="S27" s="13"/>
      <c r="T27" s="13"/>
      <c r="U27" s="13"/>
    </row>
    <row r="28" spans="1:22">
      <c r="A28" s="7">
        <v>27</v>
      </c>
      <c r="B28" s="7">
        <v>0</v>
      </c>
      <c r="C28" s="7">
        <v>0</v>
      </c>
      <c r="D28" s="7">
        <v>0</v>
      </c>
      <c r="E28" s="7">
        <v>0</v>
      </c>
      <c r="F28" s="7">
        <v>1</v>
      </c>
      <c r="G28" s="7">
        <v>0</v>
      </c>
      <c r="H28" s="7">
        <v>1</v>
      </c>
      <c r="I28" s="7">
        <v>0</v>
      </c>
      <c r="J28" s="7">
        <v>0</v>
      </c>
      <c r="K28" s="7">
        <v>1</v>
      </c>
      <c r="L28" s="7">
        <v>0</v>
      </c>
      <c r="M28" s="7">
        <v>0</v>
      </c>
      <c r="O28" s="10" t="s">
        <v>17</v>
      </c>
      <c r="P28" s="10" t="s">
        <v>22</v>
      </c>
      <c r="Q28" s="10" t="s">
        <v>23</v>
      </c>
      <c r="R28" s="10" t="s">
        <v>16</v>
      </c>
      <c r="S28" s="10" t="s">
        <v>15</v>
      </c>
      <c r="T28" s="10" t="s">
        <v>24</v>
      </c>
      <c r="U28" s="10" t="s">
        <v>25</v>
      </c>
      <c r="V28" s="10" t="s">
        <v>31</v>
      </c>
    </row>
    <row r="29" spans="1:22">
      <c r="A29" s="7">
        <v>28</v>
      </c>
      <c r="B29" s="7">
        <v>1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1</v>
      </c>
      <c r="K29" s="7">
        <v>0</v>
      </c>
      <c r="L29" s="7">
        <v>1</v>
      </c>
      <c r="M29" s="7">
        <v>0</v>
      </c>
      <c r="O29" s="4">
        <v>1</v>
      </c>
      <c r="P29" s="4" t="s">
        <v>0</v>
      </c>
      <c r="Q29" s="4" t="s">
        <v>2</v>
      </c>
      <c r="R29" s="4">
        <f ca="1">COUNTIFS(INDIRECT(P29), 1, INDIRECT(Q29),1)</f>
        <v>8</v>
      </c>
      <c r="S29" s="4">
        <f ca="1">R29/$P$1</f>
        <v>0.22857142857142856</v>
      </c>
      <c r="T29" s="4">
        <f ca="1">S29/$R$6</f>
        <v>0.53333333333333333</v>
      </c>
      <c r="U29" s="4">
        <f ca="1">T29*100</f>
        <v>53.333333333333336</v>
      </c>
      <c r="V29" s="7">
        <f ca="1">T29/R8</f>
        <v>1.5555555555555556</v>
      </c>
    </row>
    <row r="30" spans="1:22">
      <c r="A30" s="7">
        <v>29</v>
      </c>
      <c r="B30" s="7">
        <v>0</v>
      </c>
      <c r="C30" s="7">
        <v>0</v>
      </c>
      <c r="D30" s="7">
        <v>0</v>
      </c>
      <c r="E30" s="7">
        <v>1</v>
      </c>
      <c r="F30" s="7">
        <v>0</v>
      </c>
      <c r="G30" s="7">
        <v>0</v>
      </c>
      <c r="H30" s="7">
        <v>0</v>
      </c>
      <c r="I30" s="7">
        <v>1</v>
      </c>
      <c r="J30" s="7">
        <v>0</v>
      </c>
      <c r="K30" s="7">
        <v>0</v>
      </c>
      <c r="L30" s="7">
        <v>1</v>
      </c>
      <c r="M30" s="7">
        <v>0</v>
      </c>
      <c r="O30" s="4">
        <v>2</v>
      </c>
      <c r="P30" s="4" t="s">
        <v>0</v>
      </c>
      <c r="Q30" s="4" t="s">
        <v>4</v>
      </c>
      <c r="R30" s="4">
        <f t="shared" ref="R30:R38" ca="1" si="4">COUNTIFS(INDIRECT(P30), 1, INDIRECT(Q30),1)</f>
        <v>6</v>
      </c>
      <c r="S30" s="4">
        <f t="shared" ref="S30:S38" ca="1" si="5">R30/$P$1</f>
        <v>0.17142857142857143</v>
      </c>
      <c r="T30" s="4">
        <f t="shared" ref="T30:T32" ca="1" si="6">S30/$R$6</f>
        <v>0.4</v>
      </c>
      <c r="U30" s="4">
        <f t="shared" ref="U30:U38" ca="1" si="7">T30*100</f>
        <v>40</v>
      </c>
      <c r="V30" s="7">
        <f ca="1">T30/R10</f>
        <v>1</v>
      </c>
    </row>
    <row r="31" spans="1:22">
      <c r="A31" s="7">
        <v>30</v>
      </c>
      <c r="B31" s="7">
        <v>1</v>
      </c>
      <c r="C31" s="7">
        <v>1</v>
      </c>
      <c r="D31" s="7">
        <v>0</v>
      </c>
      <c r="E31" s="7">
        <v>0</v>
      </c>
      <c r="F31" s="7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O31" s="6">
        <v>3</v>
      </c>
      <c r="P31" s="6" t="s">
        <v>0</v>
      </c>
      <c r="Q31" s="6" t="s">
        <v>6</v>
      </c>
      <c r="R31" s="6">
        <f t="shared" ca="1" si="4"/>
        <v>4</v>
      </c>
      <c r="S31" s="6">
        <f t="shared" ca="1" si="5"/>
        <v>0.11428571428571428</v>
      </c>
      <c r="T31" s="6">
        <f t="shared" ca="1" si="6"/>
        <v>0.26666666666666666</v>
      </c>
      <c r="U31" s="6">
        <f t="shared" ca="1" si="7"/>
        <v>26.666666666666668</v>
      </c>
      <c r="V31" s="6"/>
    </row>
    <row r="32" spans="1:22">
      <c r="A32" s="7">
        <v>31</v>
      </c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1</v>
      </c>
      <c r="I32" s="7">
        <v>0</v>
      </c>
      <c r="J32" s="7">
        <v>0</v>
      </c>
      <c r="K32" s="7">
        <v>0</v>
      </c>
      <c r="L32" s="7">
        <v>1</v>
      </c>
      <c r="M32" s="7">
        <v>1</v>
      </c>
      <c r="O32" s="4">
        <v>4</v>
      </c>
      <c r="P32" s="4" t="s">
        <v>0</v>
      </c>
      <c r="Q32" s="4" t="s">
        <v>11</v>
      </c>
      <c r="R32" s="4">
        <f t="shared" ca="1" si="4"/>
        <v>5</v>
      </c>
      <c r="S32" s="4">
        <f t="shared" ca="1" si="5"/>
        <v>0.14285714285714285</v>
      </c>
      <c r="T32" s="4">
        <f t="shared" ca="1" si="6"/>
        <v>0.33333333333333331</v>
      </c>
      <c r="U32" s="4">
        <f t="shared" ca="1" si="7"/>
        <v>33.333333333333329</v>
      </c>
      <c r="V32" s="7">
        <f ca="1">T32/R17</f>
        <v>0.89743589743589736</v>
      </c>
    </row>
    <row r="33" spans="1:22">
      <c r="A33" s="7">
        <v>32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1</v>
      </c>
      <c r="H33" s="7">
        <v>0</v>
      </c>
      <c r="I33" s="7">
        <v>0</v>
      </c>
      <c r="J33" s="7">
        <v>0</v>
      </c>
      <c r="K33" s="7">
        <v>0</v>
      </c>
      <c r="L33" s="7">
        <v>1</v>
      </c>
      <c r="M33" s="7">
        <v>0</v>
      </c>
      <c r="O33" s="6">
        <v>5</v>
      </c>
      <c r="P33" s="6" t="s">
        <v>2</v>
      </c>
      <c r="Q33" s="6" t="s">
        <v>4</v>
      </c>
      <c r="R33" s="6">
        <f t="shared" ca="1" si="4"/>
        <v>6</v>
      </c>
      <c r="S33" s="6">
        <f t="shared" ca="1" si="5"/>
        <v>0.17142857142857143</v>
      </c>
      <c r="T33" s="6">
        <f ca="1">S33/$R$8</f>
        <v>0.5</v>
      </c>
      <c r="U33" s="6">
        <f t="shared" ca="1" si="7"/>
        <v>50</v>
      </c>
      <c r="V33" s="6"/>
    </row>
    <row r="34" spans="1:22">
      <c r="A34" s="7">
        <v>33</v>
      </c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1</v>
      </c>
      <c r="O34" s="4">
        <v>6</v>
      </c>
      <c r="P34" s="4" t="s">
        <v>2</v>
      </c>
      <c r="Q34" s="4" t="s">
        <v>6</v>
      </c>
      <c r="R34" s="4">
        <f t="shared" ca="1" si="4"/>
        <v>5</v>
      </c>
      <c r="S34" s="4">
        <f t="shared" ca="1" si="5"/>
        <v>0.14285714285714285</v>
      </c>
      <c r="T34" s="4">
        <f t="shared" ref="T34:T35" ca="1" si="8">S34/$R$8</f>
        <v>0.41666666666666663</v>
      </c>
      <c r="U34" s="4">
        <f t="shared" ca="1" si="7"/>
        <v>41.666666666666664</v>
      </c>
      <c r="V34" s="7">
        <f ca="1">T34/R12</f>
        <v>0.91145833333333326</v>
      </c>
    </row>
    <row r="35" spans="1:22">
      <c r="A35" s="7">
        <v>34</v>
      </c>
      <c r="B35" s="7">
        <v>1</v>
      </c>
      <c r="C35" s="7">
        <v>1</v>
      </c>
      <c r="D35" s="7">
        <v>0</v>
      </c>
      <c r="E35" s="7">
        <v>0</v>
      </c>
      <c r="F35" s="7">
        <v>1</v>
      </c>
      <c r="G35" s="7">
        <v>0</v>
      </c>
      <c r="H35" s="7">
        <v>0</v>
      </c>
      <c r="I35" s="7">
        <v>0</v>
      </c>
      <c r="J35" s="7">
        <v>1</v>
      </c>
      <c r="K35" s="7">
        <v>0</v>
      </c>
      <c r="L35" s="7">
        <v>0</v>
      </c>
      <c r="M35" s="7">
        <v>1</v>
      </c>
      <c r="O35" s="4">
        <v>7</v>
      </c>
      <c r="P35" s="4" t="s">
        <v>2</v>
      </c>
      <c r="Q35" s="4" t="s">
        <v>11</v>
      </c>
      <c r="R35" s="4">
        <f t="shared" ca="1" si="4"/>
        <v>5</v>
      </c>
      <c r="S35" s="4">
        <f t="shared" ca="1" si="5"/>
        <v>0.14285714285714285</v>
      </c>
      <c r="T35" s="4">
        <f t="shared" ca="1" si="8"/>
        <v>0.41666666666666663</v>
      </c>
      <c r="U35" s="4">
        <f t="shared" ca="1" si="7"/>
        <v>41.666666666666664</v>
      </c>
      <c r="V35" s="7">
        <f ca="1">T35/R17</f>
        <v>1.1217948717948716</v>
      </c>
    </row>
    <row r="36" spans="1:22">
      <c r="A36" s="7">
        <v>35</v>
      </c>
      <c r="B36" s="7">
        <v>1</v>
      </c>
      <c r="C36" s="7">
        <v>1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1</v>
      </c>
      <c r="K36" s="7">
        <v>0</v>
      </c>
      <c r="L36" s="7">
        <v>0</v>
      </c>
      <c r="M36" s="7">
        <v>0</v>
      </c>
      <c r="O36" s="4">
        <v>8</v>
      </c>
      <c r="P36" s="4" t="s">
        <v>4</v>
      </c>
      <c r="Q36" s="4" t="s">
        <v>6</v>
      </c>
      <c r="R36" s="4">
        <f t="shared" ca="1" si="4"/>
        <v>10</v>
      </c>
      <c r="S36" s="4">
        <f t="shared" ca="1" si="5"/>
        <v>0.2857142857142857</v>
      </c>
      <c r="T36" s="4">
        <f ca="1">S36/$R$10</f>
        <v>0.71428571428571419</v>
      </c>
      <c r="U36" s="4">
        <f t="shared" ca="1" si="7"/>
        <v>71.428571428571416</v>
      </c>
      <c r="V36" s="7">
        <f ca="1">T36/R12</f>
        <v>1.5624999999999998</v>
      </c>
    </row>
    <row r="37" spans="1:22">
      <c r="O37" s="4">
        <v>9</v>
      </c>
      <c r="P37" s="4" t="s">
        <v>4</v>
      </c>
      <c r="Q37" s="4" t="s">
        <v>11</v>
      </c>
      <c r="R37" s="4">
        <f t="shared" ca="1" si="4"/>
        <v>5</v>
      </c>
      <c r="S37" s="4">
        <f t="shared" ca="1" si="5"/>
        <v>0.14285714285714285</v>
      </c>
      <c r="T37" s="4">
        <f ca="1">S37/$R$10</f>
        <v>0.3571428571428571</v>
      </c>
      <c r="U37" s="4">
        <f t="shared" ca="1" si="7"/>
        <v>35.714285714285708</v>
      </c>
      <c r="V37" s="7">
        <f ca="1">T37/R17</f>
        <v>0.96153846153846134</v>
      </c>
    </row>
    <row r="38" spans="1:22">
      <c r="O38" s="4">
        <v>10</v>
      </c>
      <c r="P38" s="4" t="s">
        <v>6</v>
      </c>
      <c r="Q38" s="4" t="s">
        <v>11</v>
      </c>
      <c r="R38" s="4">
        <f t="shared" ca="1" si="4"/>
        <v>6</v>
      </c>
      <c r="S38" s="4">
        <f t="shared" ca="1" si="5"/>
        <v>0.17142857142857143</v>
      </c>
      <c r="T38" s="4">
        <f ca="1">S38/$R$12</f>
        <v>0.375</v>
      </c>
      <c r="U38" s="4">
        <f t="shared" ca="1" si="7"/>
        <v>37.5</v>
      </c>
      <c r="V38" s="7">
        <f ca="1">T38/R17</f>
        <v>1.0096153846153846</v>
      </c>
    </row>
    <row r="40" spans="1:22">
      <c r="O40" s="13" t="s">
        <v>26</v>
      </c>
      <c r="P40" s="13"/>
      <c r="Q40" s="13"/>
      <c r="R40" s="13"/>
      <c r="S40" s="13"/>
      <c r="T40" s="13"/>
      <c r="U40" s="13"/>
      <c r="V40" s="13"/>
    </row>
    <row r="41" spans="1:22">
      <c r="O41" s="10" t="s">
        <v>17</v>
      </c>
      <c r="P41" s="10" t="s">
        <v>22</v>
      </c>
      <c r="Q41" s="10" t="s">
        <v>23</v>
      </c>
      <c r="R41" s="10" t="s">
        <v>27</v>
      </c>
      <c r="S41" s="10" t="s">
        <v>16</v>
      </c>
      <c r="T41" s="10" t="s">
        <v>15</v>
      </c>
      <c r="U41" s="10" t="s">
        <v>24</v>
      </c>
      <c r="V41" s="10" t="s">
        <v>25</v>
      </c>
    </row>
    <row r="42" spans="1:22">
      <c r="O42" s="6">
        <v>1</v>
      </c>
      <c r="P42" s="6" t="s">
        <v>0</v>
      </c>
      <c r="Q42" s="6" t="s">
        <v>2</v>
      </c>
      <c r="R42" s="6" t="s">
        <v>4</v>
      </c>
      <c r="S42" s="6">
        <f ca="1">COUNTIFS(INDIRECT(P42),1, INDIRECT(Q42),1, INDIRECT(R42),1)</f>
        <v>3</v>
      </c>
      <c r="T42" s="6">
        <f ca="1">S42/$P$1</f>
        <v>8.5714285714285715E-2</v>
      </c>
      <c r="U42" s="6">
        <f ca="1">T42/$R$6</f>
        <v>0.2</v>
      </c>
      <c r="V42" s="6">
        <f ca="1">U42*100</f>
        <v>20</v>
      </c>
    </row>
    <row r="43" spans="1:22">
      <c r="O43" s="6">
        <v>2</v>
      </c>
      <c r="P43" s="6" t="s">
        <v>0</v>
      </c>
      <c r="Q43" s="6" t="s">
        <v>2</v>
      </c>
      <c r="R43" s="6" t="s">
        <v>6</v>
      </c>
      <c r="S43" s="6">
        <f t="shared" ref="S43:S48" ca="1" si="9">COUNTIFS(INDIRECT(P43),1, INDIRECT(Q43),1, INDIRECT(R43),1)</f>
        <v>3</v>
      </c>
      <c r="T43" s="6">
        <f t="shared" ref="T43:T48" ca="1" si="10">S43/$P$1</f>
        <v>8.5714285714285715E-2</v>
      </c>
      <c r="U43" s="6">
        <f t="shared" ref="U43:U44" ca="1" si="11">T43/$R$6</f>
        <v>0.2</v>
      </c>
      <c r="V43" s="6">
        <f t="shared" ref="V43:V48" ca="1" si="12">U43*100</f>
        <v>20</v>
      </c>
    </row>
    <row r="44" spans="1:22">
      <c r="O44" s="6">
        <v>3</v>
      </c>
      <c r="P44" s="6" t="s">
        <v>0</v>
      </c>
      <c r="Q44" s="6" t="s">
        <v>2</v>
      </c>
      <c r="R44" s="6" t="s">
        <v>11</v>
      </c>
      <c r="S44" s="6">
        <f t="shared" ca="1" si="9"/>
        <v>3</v>
      </c>
      <c r="T44" s="6">
        <f t="shared" ca="1" si="10"/>
        <v>8.5714285714285715E-2</v>
      </c>
      <c r="U44" s="6">
        <f t="shared" ca="1" si="11"/>
        <v>0.2</v>
      </c>
      <c r="V44" s="6">
        <f t="shared" ca="1" si="12"/>
        <v>20</v>
      </c>
    </row>
    <row r="45" spans="1:22">
      <c r="O45" s="6">
        <v>4</v>
      </c>
      <c r="P45" s="6" t="s">
        <v>2</v>
      </c>
      <c r="Q45" s="6" t="s">
        <v>4</v>
      </c>
      <c r="R45" s="6" t="s">
        <v>6</v>
      </c>
      <c r="S45" s="6">
        <f t="shared" ca="1" si="9"/>
        <v>4</v>
      </c>
      <c r="T45" s="6">
        <f t="shared" ca="1" si="10"/>
        <v>0.11428571428571428</v>
      </c>
      <c r="U45" s="6">
        <f ca="1">T45/$Q$8</f>
        <v>9.5238095238095229E-3</v>
      </c>
      <c r="V45" s="6">
        <f t="shared" ca="1" si="12"/>
        <v>0.95238095238095233</v>
      </c>
    </row>
    <row r="46" spans="1:22">
      <c r="O46" s="6">
        <v>5</v>
      </c>
      <c r="P46" s="6" t="s">
        <v>2</v>
      </c>
      <c r="Q46" s="6" t="s">
        <v>4</v>
      </c>
      <c r="R46" s="6" t="s">
        <v>11</v>
      </c>
      <c r="S46" s="6">
        <f t="shared" ca="1" si="9"/>
        <v>2</v>
      </c>
      <c r="T46" s="6">
        <f t="shared" ca="1" si="10"/>
        <v>5.7142857142857141E-2</v>
      </c>
      <c r="U46" s="6">
        <f ca="1">T46/$Q$8</f>
        <v>4.7619047619047615E-3</v>
      </c>
      <c r="V46" s="6">
        <f t="shared" ca="1" si="12"/>
        <v>0.47619047619047616</v>
      </c>
    </row>
    <row r="47" spans="1:22">
      <c r="O47" s="6">
        <v>6</v>
      </c>
      <c r="P47" s="6" t="s">
        <v>4</v>
      </c>
      <c r="Q47" s="6" t="s">
        <v>6</v>
      </c>
      <c r="R47" s="6" t="s">
        <v>11</v>
      </c>
      <c r="S47" s="6">
        <f t="shared" ca="1" si="9"/>
        <v>4</v>
      </c>
      <c r="T47" s="6">
        <f t="shared" ca="1" si="10"/>
        <v>0.11428571428571428</v>
      </c>
      <c r="U47" s="6">
        <f ca="1">T47/R10</f>
        <v>0.2857142857142857</v>
      </c>
      <c r="V47" s="6">
        <f t="shared" ca="1" si="12"/>
        <v>28.571428571428569</v>
      </c>
    </row>
    <row r="48" spans="1:22">
      <c r="O48" s="6">
        <v>7</v>
      </c>
      <c r="P48" s="6" t="s">
        <v>6</v>
      </c>
      <c r="Q48" s="6" t="s">
        <v>11</v>
      </c>
      <c r="R48" s="6" t="s">
        <v>0</v>
      </c>
      <c r="S48" s="6">
        <f t="shared" ca="1" si="9"/>
        <v>3</v>
      </c>
      <c r="T48" s="6">
        <f t="shared" ca="1" si="10"/>
        <v>8.5714285714285715E-2</v>
      </c>
      <c r="U48" s="6">
        <f ca="1">T48/R12</f>
        <v>0.1875</v>
      </c>
      <c r="V48" s="6">
        <f t="shared" ca="1" si="12"/>
        <v>18.75</v>
      </c>
    </row>
    <row r="50" spans="13:23">
      <c r="O50" s="13" t="s">
        <v>28</v>
      </c>
      <c r="P50" s="13"/>
      <c r="Q50" s="13"/>
      <c r="R50" s="13"/>
      <c r="S50" s="13"/>
      <c r="T50" s="13"/>
      <c r="U50" s="13"/>
      <c r="V50" s="13"/>
      <c r="W50" s="13"/>
    </row>
    <row r="51" spans="13:23">
      <c r="O51" s="10" t="s">
        <v>17</v>
      </c>
      <c r="P51" s="10" t="s">
        <v>22</v>
      </c>
      <c r="Q51" s="10" t="s">
        <v>23</v>
      </c>
      <c r="R51" s="10" t="s">
        <v>27</v>
      </c>
      <c r="S51" s="10" t="s">
        <v>29</v>
      </c>
      <c r="T51" s="10" t="s">
        <v>16</v>
      </c>
      <c r="U51" s="10" t="s">
        <v>15</v>
      </c>
      <c r="V51" s="10" t="s">
        <v>24</v>
      </c>
      <c r="W51" s="10" t="s">
        <v>25</v>
      </c>
    </row>
    <row r="52" spans="13:23">
      <c r="M52" s="11"/>
      <c r="O52" s="6">
        <v>1</v>
      </c>
      <c r="P52" s="6" t="s">
        <v>0</v>
      </c>
      <c r="Q52" s="6" t="s">
        <v>2</v>
      </c>
      <c r="R52" s="6" t="s">
        <v>4</v>
      </c>
      <c r="S52" s="6" t="s">
        <v>6</v>
      </c>
      <c r="T52" s="6">
        <f ca="1">COUNTIFS(INDIRECT(P52),1, INDIRECT(Q52),1, INDIRECT(R52),1, INDIRECT(S52),1)</f>
        <v>2</v>
      </c>
      <c r="U52" s="6">
        <f ca="1">T52/$P$1</f>
        <v>5.7142857142857141E-2</v>
      </c>
      <c r="V52" s="6">
        <f ca="1">U52/$R$6</f>
        <v>0.13333333333333333</v>
      </c>
      <c r="W52" s="6">
        <f ca="1">V52*100</f>
        <v>13.333333333333334</v>
      </c>
    </row>
    <row r="53" spans="13:23">
      <c r="M53" s="11"/>
      <c r="O53" s="6">
        <v>2</v>
      </c>
      <c r="P53" s="6" t="s">
        <v>0</v>
      </c>
      <c r="Q53" s="6" t="s">
        <v>2</v>
      </c>
      <c r="R53" s="6" t="s">
        <v>4</v>
      </c>
      <c r="S53" s="6" t="s">
        <v>11</v>
      </c>
      <c r="T53" s="6">
        <f t="shared" ref="T53:T56" ca="1" si="13">COUNTIFS(INDIRECT(P53),1, INDIRECT(Q53),1, INDIRECT(R53),1, INDIRECT(S53),1)</f>
        <v>1</v>
      </c>
      <c r="U53" s="6">
        <f t="shared" ref="U53:U56" ca="1" si="14">T53/$P$1</f>
        <v>2.8571428571428571E-2</v>
      </c>
      <c r="V53" s="6">
        <f ca="1">U53/$R$6</f>
        <v>6.6666666666666666E-2</v>
      </c>
      <c r="W53" s="6">
        <f t="shared" ref="W53:W56" ca="1" si="15">V53*100</f>
        <v>6.666666666666667</v>
      </c>
    </row>
    <row r="54" spans="13:23">
      <c r="M54" s="11"/>
      <c r="O54" s="6">
        <v>3</v>
      </c>
      <c r="P54" s="6" t="s">
        <v>2</v>
      </c>
      <c r="Q54" s="6" t="s">
        <v>4</v>
      </c>
      <c r="R54" s="6" t="s">
        <v>6</v>
      </c>
      <c r="S54" s="6" t="s">
        <v>11</v>
      </c>
      <c r="T54" s="6">
        <f t="shared" ca="1" si="13"/>
        <v>2</v>
      </c>
      <c r="U54" s="6">
        <f t="shared" ca="1" si="14"/>
        <v>5.7142857142857141E-2</v>
      </c>
      <c r="V54" s="6">
        <f ca="1">U54/R8</f>
        <v>0.16666666666666666</v>
      </c>
      <c r="W54" s="6">
        <f t="shared" ca="1" si="15"/>
        <v>16.666666666666664</v>
      </c>
    </row>
    <row r="55" spans="13:23">
      <c r="M55" s="11"/>
      <c r="O55" s="6">
        <v>4</v>
      </c>
      <c r="P55" s="6" t="s">
        <v>4</v>
      </c>
      <c r="Q55" s="6" t="s">
        <v>6</v>
      </c>
      <c r="R55" s="6" t="s">
        <v>11</v>
      </c>
      <c r="S55" s="6" t="s">
        <v>0</v>
      </c>
      <c r="T55" s="6">
        <f t="shared" ca="1" si="13"/>
        <v>2</v>
      </c>
      <c r="U55" s="6">
        <f t="shared" ca="1" si="14"/>
        <v>5.7142857142857141E-2</v>
      </c>
      <c r="V55" s="6">
        <f ca="1">U55/R10</f>
        <v>0.14285714285714285</v>
      </c>
      <c r="W55" s="6">
        <f t="shared" ca="1" si="15"/>
        <v>14.285714285714285</v>
      </c>
    </row>
    <row r="56" spans="13:23">
      <c r="M56" s="11"/>
      <c r="O56" s="6">
        <v>5</v>
      </c>
      <c r="P56" s="6" t="s">
        <v>6</v>
      </c>
      <c r="Q56" s="6" t="s">
        <v>11</v>
      </c>
      <c r="R56" s="6" t="s">
        <v>0</v>
      </c>
      <c r="S56" s="6" t="s">
        <v>2</v>
      </c>
      <c r="T56" s="6">
        <f t="shared" ca="1" si="13"/>
        <v>2</v>
      </c>
      <c r="U56" s="6">
        <f t="shared" ca="1" si="14"/>
        <v>5.7142857142857141E-2</v>
      </c>
      <c r="V56" s="6">
        <f ca="1">U56/R12</f>
        <v>0.125</v>
      </c>
      <c r="W56" s="6">
        <f t="shared" ca="1" si="15"/>
        <v>12.5</v>
      </c>
    </row>
  </sheetData>
  <mergeCells count="4">
    <mergeCell ref="O19:Q19"/>
    <mergeCell ref="O27:U27"/>
    <mergeCell ref="O40:V40"/>
    <mergeCell ref="O50:W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Sheet1</vt:lpstr>
      <vt:lpstr>bread</vt:lpstr>
      <vt:lpstr>candy</vt:lpstr>
      <vt:lpstr>cheese</vt:lpstr>
      <vt:lpstr>coffee</vt:lpstr>
      <vt:lpstr>cream</vt:lpstr>
      <vt:lpstr>donut</vt:lpstr>
      <vt:lpstr>fruit</vt:lpstr>
      <vt:lpstr>milk</vt:lpstr>
      <vt:lpstr>soda</vt:lpstr>
      <vt:lpstr>soup</vt:lpstr>
      <vt:lpstr>sugar</vt:lpstr>
      <vt:lpstr>water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bruno</dc:creator>
  <cp:lastModifiedBy>Zyrile Kenny</cp:lastModifiedBy>
  <dcterms:created xsi:type="dcterms:W3CDTF">2024-05-12T15:36:48Z</dcterms:created>
  <dcterms:modified xsi:type="dcterms:W3CDTF">2025-12-01T05:48:28Z</dcterms:modified>
</cp:coreProperties>
</file>